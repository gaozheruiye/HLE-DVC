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LE-DVC size" sheetId="13" r:id="rId1"/>
    <sheet name="HLE-comparison-size" sheetId="15" r:id="rId2"/>
    <sheet name="HLE time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<sst xmlns="http://schemas.openxmlformats.org/spreadsheetml/2006/main" count="90" uniqueCount="62">
  <si>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n</t>
  </si>
  <si>
    <t>log n</t>
  </si>
  <si>
    <t>M</t>
  </si>
  <si>
    <t>g1</t>
  </si>
  <si>
    <t>log M</t>
  </si>
  <si>
    <t>N</t>
  </si>
  <si>
    <t>log N</t>
  </si>
  <si>
    <t>g2</t>
  </si>
  <si>
    <t>gt</t>
  </si>
  <si>
    <t>size:</t>
  </si>
  <si>
    <t>g1(bytes)</t>
  </si>
  <si>
    <t>gT</t>
  </si>
  <si>
    <t>auxiliary（后来没写了 ）</t>
  </si>
  <si>
    <t>hiding 版本</t>
  </si>
  <si>
    <t>verification key</t>
  </si>
  <si>
    <t>update key（后来没写了 ）</t>
  </si>
  <si>
    <t>partial proof</t>
  </si>
  <si>
    <t>log N/M</t>
  </si>
  <si>
    <t>single proof</t>
  </si>
  <si>
    <t>batch proof</t>
  </si>
  <si>
    <t>|I|=1024</t>
  </si>
  <si>
    <t>aggregation proof（一阶段）</t>
  </si>
  <si>
    <t>aggregation proof（二阶段）</t>
  </si>
  <si>
    <t>total communication</t>
  </si>
  <si>
    <t>proving key(这个是对的）</t>
  </si>
  <si>
    <t>All single proofs</t>
  </si>
  <si>
    <t>l</t>
  </si>
  <si>
    <t>aSVC</t>
  </si>
  <si>
    <t>Hyperproofs</t>
  </si>
  <si>
    <t>H-DVC</t>
  </si>
  <si>
    <t>[14]-PST-DVC</t>
  </si>
  <si>
    <t>KZG-DPCS-DVC</t>
  </si>
  <si>
    <t>Proof size</t>
  </si>
  <si>
    <t>prove 1 element</t>
  </si>
  <si>
    <t>prove all elements</t>
  </si>
  <si>
    <t>verify</t>
  </si>
  <si>
    <t>update key</t>
  </si>
  <si>
    <t>Update all proofs</t>
  </si>
  <si>
    <t>agg proof</t>
  </si>
  <si>
    <t>aggregate proofs</t>
  </si>
  <si>
    <t>log N = 30</t>
  </si>
  <si>
    <t>aggregation proof</t>
  </si>
  <si>
    <t>log M = 4</t>
  </si>
  <si>
    <t>Total communication</t>
  </si>
  <si>
    <t>L=|I|* (log n+1)=2^12</t>
  </si>
  <si>
    <t>IPAL=|I|* (log L)=1024*24=2^15</t>
  </si>
  <si>
    <t>setup</t>
  </si>
  <si>
    <t>GenPk</t>
  </si>
  <si>
    <t>GenAllPk</t>
  </si>
  <si>
    <t>Prove</t>
  </si>
  <si>
    <t>Verify</t>
  </si>
  <si>
    <t>BatchProve</t>
  </si>
  <si>
    <t>BatchVerify</t>
  </si>
  <si>
    <t>DeCommit</t>
  </si>
  <si>
    <t>GenAux</t>
  </si>
  <si>
    <t>ProveAll</t>
  </si>
  <si>
    <t>总和：</t>
  </si>
  <si>
    <t>UpdComProof</t>
  </si>
  <si>
    <t>Aggsingle</t>
  </si>
  <si>
    <t>AggCross</t>
  </si>
  <si>
    <t>VerAgg</t>
  </si>
  <si>
    <t>ProveAll(包含产生AUX）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</si>
</sst>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85"/>
      <color rgb="FF000000"/>
      <name val="NimbusRomNo9L-Regu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workbookViewId="0">
      <selection activeCell="M14" sqref="M14"/>
    </sheetView>
  </sheetViews>
  <sheetFormatPr defaultColWidth="8.89166666666667" defaultRowHeight="13.5"/>
  <cols>
    <col min="1" max="1" width="26.75" customWidth="1"/>
    <col min="2" max="2" width="13.775" customWidth="1"/>
    <col min="3" max="3" width="11.5583333333333" customWidth="1"/>
    <col min="4" max="4" width="13" customWidth="1"/>
    <col min="5" max="5" width="12.4416666666667" customWidth="1"/>
    <col min="6" max="6" width="14" customWidth="1"/>
    <col min="7" max="7" width="11.375" customWidth="1"/>
    <col min="8" max="8" width="13.1083333333333" customWidth="1"/>
    <col min="9" max="10" width="12.8916666666667" customWidth="1"/>
    <col min="11" max="11" width="15" customWidth="1"/>
    <col min="12" max="12" width="17.1083333333333" customWidth="1"/>
    <col min="13" max="13" width="9.375"/>
    <col min="14" max="14" width="12.625"/>
    <col min="15" max="15" width="11.5"/>
  </cols>
  <sheetData>
    <row r="1" customFormat="1" spans="1:22">
      <c r="A1" s="1" t="s">
        <v>0</v>
      </c>
      <c r="B1"/>
      <c r="C1">
        <f>POWER(2,C2)</f>
        <v>1</v>
      </c>
      <c r="D1">
        <f>POWER(2,D2)</f>
        <v>1</v>
      </c>
    </row>
    <row r="2" customFormat="1" spans="1:22">
      <c r="A2" t="s">
        <v>1</v>
      </c>
    </row>
    <row r="3" customFormat="1" spans="1:22">
      <c r="A3" t="s">
        <v>2</v>
      </c>
      <c r="B3"/>
      <c r="C3"/>
      <c r="D3"/>
      <c r="S3" t="s">
        <v>3</v>
      </c>
      <c r="T3">
        <f>I13</f>
        <v>48</v>
      </c>
      <c r="U3">
        <f>T3</f>
        <v>48</v>
      </c>
      <c r="V3">
        <f>U3</f>
        <v>48</v>
      </c>
    </row>
    <row r="4" customFormat="1" spans="1:22">
      <c r="A4" t="s">
        <v>4</v>
      </c>
      <c r="B4"/>
      <c r="C4"/>
      <c r="D4"/>
      <c r="T4">
        <f>T3</f>
        <v>48</v>
      </c>
      <c r="U4">
        <f>T4</f>
        <v>48</v>
      </c>
      <c r="V4">
        <f>U4</f>
        <v>48</v>
      </c>
    </row>
    <row r="5" customFormat="1" spans="1:22">
      <c r="A5" t="s">
        <v>5</v>
      </c>
      <c r="B5"/>
      <c r="C5"/>
      <c r="D5"/>
      <c r="T5">
        <f>T4</f>
        <v>48</v>
      </c>
      <c r="U5">
        <f>T5</f>
        <v>48</v>
      </c>
      <c r="V5">
        <f>U5</f>
        <v>48</v>
      </c>
    </row>
    <row r="6" customFormat="1" spans="1:22">
      <c r="A6" t="s">
        <v>6</v>
      </c>
    </row>
    <row r="7" customFormat="1" spans="1:22">
      <c r="S7" t="s">
        <v>7</v>
      </c>
      <c r="T7">
        <v>96</v>
      </c>
      <c r="U7">
        <f>T7</f>
        <v>96</v>
      </c>
      <c r="V7">
        <f>U7</f>
        <v>96</v>
      </c>
    </row>
    <row r="8" customFormat="1" spans="1:22">
      <c r="T8">
        <f>T7</f>
        <v>96</v>
      </c>
      <c r="U8">
        <f>U7</f>
        <v>96</v>
      </c>
      <c r="V8">
        <f>V7</f>
        <v>96</v>
      </c>
    </row>
    <row r="9" customFormat="1" spans="1:22">
      <c r="T9">
        <f>T8</f>
        <v>96</v>
      </c>
      <c r="U9">
        <f>U8</f>
        <v>96</v>
      </c>
      <c r="V9">
        <f>V8</f>
        <v>96</v>
      </c>
    </row>
    <row r="10" customFormat="1" spans="1:22">
      <c r="I10" s="3"/>
      <c r="J10" s="3"/>
      <c r="K10" s="3"/>
      <c r="L10" s="3"/>
    </row>
    <row r="11" customFormat="1" spans="1:22">
      <c r="S11" t="s">
        <v>8</v>
      </c>
      <c r="T11">
        <v>576</v>
      </c>
      <c r="U11">
        <v>576</v>
      </c>
      <c r="V11">
        <v>576</v>
      </c>
    </row>
    <row r="12" customFormat="1" spans="1:22">
      <c r="H12" t="s">
        <v>9</v>
      </c>
      <c r="I12" t="s">
        <v>10</v>
      </c>
      <c r="J12" t="s">
        <v>7</v>
      </c>
      <c r="K12" t="s">
        <v>11</v>
      </c>
      <c r="T12">
        <v>576</v>
      </c>
      <c r="U12">
        <v>576</v>
      </c>
      <c r="V12">
        <v>576</v>
      </c>
    </row>
    <row r="13" customFormat="1" spans="1:22">
      <c r="A13" t="s">
        <v>12</v>
      </c>
      <c r="B13">
        <f>R22*T3</f>
        <v>192</v>
      </c>
      <c r="C13">
        <f>S22*U3</f>
        <v>192</v>
      </c>
      <c r="D13">
        <f>T22*V3</f>
        <v>192</v>
      </c>
      <c r="I13" s="4">
        <v>48</v>
      </c>
      <c r="J13">
        <v>96</v>
      </c>
      <c r="K13">
        <v>576</v>
      </c>
      <c r="T13">
        <v>576</v>
      </c>
      <c r="U13">
        <v>576</v>
      </c>
      <c r="V13">
        <v>576</v>
      </c>
    </row>
    <row r="14" customFormat="1" spans="1:22">
      <c r="B14">
        <f>R23*T4</f>
        <v>288</v>
      </c>
      <c r="C14">
        <f>S23*U4</f>
        <v>288</v>
      </c>
      <c r="D14">
        <f>T23*V4</f>
        <v>288</v>
      </c>
      <c r="H14" t="s">
        <v>13</v>
      </c>
      <c r="I14">
        <f>I13</f>
        <v>48</v>
      </c>
      <c r="J14">
        <f t="shared" ref="I14:K14" si="0">J13</f>
        <v>96</v>
      </c>
      <c r="K14">
        <f t="shared" si="0"/>
        <v>576</v>
      </c>
    </row>
    <row r="15" customFormat="1" spans="1:22">
      <c r="B15">
        <f>R24*T5</f>
        <v>384</v>
      </c>
      <c r="C15">
        <f>S24*U5</f>
        <v>384</v>
      </c>
      <c r="D15">
        <f>T24*V5</f>
        <v>384</v>
      </c>
    </row>
    <row r="17" customFormat="1" spans="1:20">
      <c r="L17" t="s">
        <v>5</v>
      </c>
      <c r="M17">
        <f>POWER(2,26)</f>
        <v>67108864</v>
      </c>
      <c r="N17">
        <f>POWER(2,28)</f>
        <v>268435456</v>
      </c>
      <c r="O17">
        <f>POWER(2,30)</f>
        <v>1073741824</v>
      </c>
      <c r="Q17" t="s">
        <v>6</v>
      </c>
      <c r="R17" t="str">
        <f>IMLOG2(M17)</f>
        <v>26</v>
      </c>
      <c r="S17" t="str">
        <f>IMLOG2(N17)</f>
        <v>28</v>
      </c>
      <c r="T17" t="str">
        <f>IMLOG2(O17)</f>
        <v>30</v>
      </c>
    </row>
    <row r="18" customFormat="1" spans="1:20">
      <c r="A18" t="s">
        <v>14</v>
      </c>
      <c r="B18">
        <f>(R22+0.5)*T7</f>
        <v>432</v>
      </c>
      <c r="C18">
        <f>(S22+0.5)*U7</f>
        <v>432</v>
      </c>
      <c r="D18">
        <f>(T22+0.5)*V7</f>
        <v>432</v>
      </c>
      <c r="M18">
        <f>M17</f>
        <v>67108864</v>
      </c>
      <c r="N18">
        <f>N17</f>
        <v>268435456</v>
      </c>
      <c r="O18">
        <f>O17</f>
        <v>1073741824</v>
      </c>
      <c r="R18" t="str">
        <f>IMLOG2(M18)</f>
        <v>26</v>
      </c>
      <c r="S18" t="str">
        <f>IMLOG2(N18)</f>
        <v>28</v>
      </c>
      <c r="T18" t="str">
        <f>IMLOG2(O18)</f>
        <v>30</v>
      </c>
    </row>
    <row r="19" customFormat="1" spans="1:20">
      <c r="B19">
        <f>(R23+0.5)*T8</f>
        <v>624</v>
      </c>
      <c r="C19">
        <f>(S23+0.5)*U8</f>
        <v>624</v>
      </c>
      <c r="D19">
        <f>(T23+0.5)*V8</f>
        <v>624</v>
      </c>
      <c r="M19">
        <f>M18</f>
        <v>67108864</v>
      </c>
      <c r="N19">
        <f>N18</f>
        <v>268435456</v>
      </c>
      <c r="O19">
        <f>O18</f>
        <v>1073741824</v>
      </c>
      <c r="R19" t="str">
        <f>IMLOG2(M19)</f>
        <v>26</v>
      </c>
      <c r="S19" t="str">
        <f>IMLOG2(N19)</f>
        <v>28</v>
      </c>
      <c r="T19" t="str">
        <f>IMLOG2(O19)</f>
        <v>30</v>
      </c>
    </row>
    <row r="20" customFormat="1" spans="1:20">
      <c r="B20">
        <f>(R24+0.5)*T9</f>
        <v>816</v>
      </c>
      <c r="C20">
        <f>(S24+0.5)*U9</f>
        <v>816</v>
      </c>
      <c r="D20">
        <f>(T24+0.5)*V9</f>
        <v>816</v>
      </c>
    </row>
    <row r="21" customFormat="1" spans="1:20">
      <c r="A21" t="s">
        <v>15</v>
      </c>
      <c r="B21">
        <f>(B4+3)*B1*I14</f>
        <v>0</v>
      </c>
      <c r="C21">
        <f>(B4+3)*C1*J14</f>
        <v>288</v>
      </c>
      <c r="D21">
        <f>(B4+3)*D1*I14</f>
        <v>144</v>
      </c>
      <c r="E21">
        <f t="shared" ref="E21:E23" si="1">B21/1000000000</f>
        <v>0</v>
      </c>
      <c r="F21">
        <f t="shared" ref="F21:F23" si="2">C21/1000000000</f>
        <v>2.88e-7</v>
      </c>
      <c r="G21">
        <f t="shared" ref="G21:G23" si="3">D21/1000000000</f>
        <v>1.44e-7</v>
      </c>
    </row>
    <row r="22" customFormat="1" spans="1:20">
      <c r="B22">
        <f>(C4+3)*B1*I14</f>
        <v>0</v>
      </c>
      <c r="C22">
        <f>(C4+3)*C1*I14</f>
        <v>144</v>
      </c>
      <c r="D22">
        <f>(C4+3)*D1*I14</f>
        <v>144</v>
      </c>
      <c r="E22">
        <f t="shared" si="1"/>
        <v>0</v>
      </c>
      <c r="F22">
        <f t="shared" si="2"/>
        <v>1.44e-7</v>
      </c>
      <c r="G22">
        <f t="shared" si="3"/>
        <v>1.44e-7</v>
      </c>
      <c r="L22" t="s">
        <v>2</v>
      </c>
      <c r="M22">
        <v>16</v>
      </c>
      <c r="N22">
        <f>M22</f>
        <v>16</v>
      </c>
      <c r="O22">
        <f>N22</f>
        <v>16</v>
      </c>
      <c r="Q22" t="s">
        <v>4</v>
      </c>
      <c r="R22" t="str">
        <f>IMLOG2(M22)</f>
        <v>4</v>
      </c>
      <c r="S22" t="str">
        <f>IMLOG2(N22)</f>
        <v>4</v>
      </c>
      <c r="T22" t="str">
        <f>IMLOG2(O22)</f>
        <v>4</v>
      </c>
    </row>
    <row r="23" customFormat="1" spans="1:20">
      <c r="B23">
        <f>(D4+3)*B1*I14</f>
        <v>0</v>
      </c>
      <c r="C23">
        <f>(D4+3)*C1*I14</f>
        <v>144</v>
      </c>
      <c r="D23">
        <f>(D4+3)*D1*I14</f>
        <v>144</v>
      </c>
      <c r="E23">
        <f t="shared" si="1"/>
        <v>0</v>
      </c>
      <c r="F23">
        <f t="shared" si="2"/>
        <v>1.44e-7</v>
      </c>
      <c r="G23">
        <f t="shared" si="3"/>
        <v>1.44e-7</v>
      </c>
      <c r="M23">
        <v>64</v>
      </c>
      <c r="N23">
        <f>M23</f>
        <v>64</v>
      </c>
      <c r="O23">
        <f>N23</f>
        <v>64</v>
      </c>
      <c r="R23" t="str">
        <f>IMLOG2(M23)</f>
        <v>6</v>
      </c>
      <c r="S23" t="str">
        <f>IMLOG2(N23)</f>
        <v>6</v>
      </c>
      <c r="T23" t="str">
        <f>IMLOG2(O23)</f>
        <v>6</v>
      </c>
    </row>
    <row r="24" customFormat="1" spans="1:20">
      <c r="A24" t="s">
        <v>16</v>
      </c>
      <c r="B24">
        <f>R22*T3</f>
        <v>192</v>
      </c>
      <c r="C24">
        <f>S22*U3</f>
        <v>192</v>
      </c>
      <c r="D24">
        <f>T22*V3</f>
        <v>192</v>
      </c>
      <c r="M24">
        <v>256</v>
      </c>
      <c r="N24">
        <f>M24</f>
        <v>256</v>
      </c>
      <c r="O24">
        <f>N24</f>
        <v>256</v>
      </c>
      <c r="R24" t="str">
        <f>IMLOG2(M24)</f>
        <v>8</v>
      </c>
      <c r="S24" t="str">
        <f>IMLOG2(N24)</f>
        <v>8</v>
      </c>
      <c r="T24" t="str">
        <f>IMLOG2(O24)</f>
        <v>8</v>
      </c>
    </row>
    <row r="25" customFormat="1" spans="1:20">
      <c r="B25">
        <f>R23*T4</f>
        <v>288</v>
      </c>
      <c r="C25">
        <f>S23*U4</f>
        <v>288</v>
      </c>
      <c r="D25">
        <f>T23*V4</f>
        <v>288</v>
      </c>
    </row>
    <row r="26" customFormat="1" spans="1:20">
      <c r="B26">
        <f>R24*T5</f>
        <v>384</v>
      </c>
      <c r="C26">
        <f>S24*U5</f>
        <v>384</v>
      </c>
      <c r="D26">
        <f>T24*V5</f>
        <v>384</v>
      </c>
      <c r="L26" t="s">
        <v>0</v>
      </c>
      <c r="M26">
        <f>M17/M22</f>
        <v>4194304</v>
      </c>
      <c r="N26">
        <f>N17/N22</f>
        <v>16777216</v>
      </c>
      <c r="O26">
        <f>O17/O22</f>
        <v>67108864</v>
      </c>
      <c r="Q26" t="s">
        <v>17</v>
      </c>
      <c r="R26" t="str">
        <f>IMLOG2(M26)</f>
        <v>22</v>
      </c>
      <c r="S26" t="str">
        <f>IMLOG2(N26)</f>
        <v>24</v>
      </c>
      <c r="T26" t="str">
        <f>IMLOG2(O26)</f>
        <v>26</v>
      </c>
    </row>
    <row r="27" customFormat="1" spans="1:20">
      <c r="A27" t="s">
        <v>18</v>
      </c>
      <c r="B27">
        <f>(R22+1)*T3</f>
        <v>240</v>
      </c>
      <c r="C27">
        <f>(S22+1)*U3</f>
        <v>240</v>
      </c>
      <c r="D27">
        <f>(T22+1)*V3</f>
        <v>240</v>
      </c>
      <c r="M27">
        <f>M18/M23</f>
        <v>1048576</v>
      </c>
      <c r="N27">
        <f>N18/N23</f>
        <v>4194304</v>
      </c>
      <c r="O27">
        <f>O18/O23</f>
        <v>16777216</v>
      </c>
      <c r="R27" t="str">
        <f>IMLOG2(M27)</f>
        <v>20</v>
      </c>
      <c r="S27" t="str">
        <f>IMLOG2(N27)</f>
        <v>22</v>
      </c>
      <c r="T27" t="str">
        <f>IMLOG2(O27)</f>
        <v>24</v>
      </c>
    </row>
    <row r="28" customFormat="1" spans="1:20">
      <c r="B28">
        <f>(R23+1)*T4</f>
        <v>336</v>
      </c>
      <c r="C28">
        <f>(S23+1)*U4</f>
        <v>336</v>
      </c>
      <c r="D28">
        <f>(T23+1)*V4</f>
        <v>336</v>
      </c>
      <c r="M28">
        <f>M19/M24</f>
        <v>262144</v>
      </c>
      <c r="N28">
        <f>N19/N24</f>
        <v>1048576</v>
      </c>
      <c r="O28">
        <f>O19/O24</f>
        <v>4194304</v>
      </c>
      <c r="R28" t="str">
        <f>IMLOG2(M28)</f>
        <v>18</v>
      </c>
      <c r="S28" t="str">
        <f>IMLOG2(N28)</f>
        <v>20</v>
      </c>
      <c r="T28" t="str">
        <f>IMLOG2(O28)</f>
        <v>22</v>
      </c>
    </row>
    <row r="29" customFormat="1" spans="1:20">
      <c r="B29">
        <f>(R24+1)*T5</f>
        <v>432</v>
      </c>
      <c r="C29">
        <f>(S24+1)*U5</f>
        <v>432</v>
      </c>
      <c r="D29">
        <f>(T24+1)*V5</f>
        <v>432</v>
      </c>
    </row>
    <row r="30" customFormat="1" spans="1:20">
      <c r="A30" t="s">
        <v>19</v>
      </c>
      <c r="B30">
        <f>B27</f>
        <v>240</v>
      </c>
      <c r="C30">
        <f t="shared" ref="C30:C32" si="4">C27</f>
        <v>240</v>
      </c>
      <c r="D30">
        <f t="shared" ref="D30:D32" si="5">D27</f>
        <v>240</v>
      </c>
      <c r="J30" t="s">
        <v>20</v>
      </c>
    </row>
    <row r="31" customFormat="1" spans="1:20">
      <c r="B31">
        <f t="shared" ref="B30:B32" si="6">B28</f>
        <v>336</v>
      </c>
      <c r="C31">
        <f t="shared" si="4"/>
        <v>336</v>
      </c>
      <c r="D31">
        <f t="shared" si="5"/>
        <v>336</v>
      </c>
    </row>
    <row r="32" customFormat="1" spans="1:20">
      <c r="B32">
        <f t="shared" si="6"/>
        <v>432</v>
      </c>
      <c r="C32">
        <f t="shared" si="4"/>
        <v>432</v>
      </c>
      <c r="D32">
        <f t="shared" si="5"/>
        <v>432</v>
      </c>
    </row>
    <row r="33" customFormat="1" spans="1:11">
      <c r="A33" t="s">
        <v>21</v>
      </c>
      <c r="B33">
        <f>M22*B30</f>
        <v>3840</v>
      </c>
      <c r="C33">
        <f>N22*C30</f>
        <v>3840</v>
      </c>
      <c r="D33">
        <f>O22*D30</f>
        <v>3840</v>
      </c>
    </row>
    <row r="34" spans="1:11">
      <c r="B34">
        <f>M23*B31</f>
        <v>21504</v>
      </c>
      <c r="C34">
        <f>N23*C31</f>
        <v>21504</v>
      </c>
      <c r="D34">
        <f>O23*D31</f>
        <v>21504</v>
      </c>
    </row>
    <row r="35" customFormat="1" spans="1:11">
      <c r="B35">
        <f>M24*B32</f>
        <v>110592</v>
      </c>
      <c r="C35">
        <f>N24*C32</f>
        <v>110592</v>
      </c>
      <c r="D35">
        <f>O24*D32</f>
        <v>110592</v>
      </c>
    </row>
    <row r="37" customFormat="1" spans="1:11">
      <c r="A37" t="s">
        <v>22</v>
      </c>
      <c r="B37">
        <f>6*(T3+T7+T11)*ROUNDUP(LOG(M22*R22,2),0)</f>
        <v>25920</v>
      </c>
      <c r="C37">
        <f>6*(U3+U7+U11)*ROUNDUP(LOG(N22*S22,2),0)</f>
        <v>25920</v>
      </c>
      <c r="D37">
        <f>6*(V3+V7+V11)*ROUNDUP(LOG(O22*T22,2),0)</f>
        <v>25920</v>
      </c>
    </row>
    <row r="38" customFormat="1" spans="1:11">
      <c r="B38">
        <f>6*(T4+T8+T12)*ROUNDUP(LOG(M23*R23,2),0)</f>
        <v>38880</v>
      </c>
      <c r="C38">
        <f>6*(U4+U8+U12)*ROUNDUP(LOG(N23*S23,2),0)</f>
        <v>38880</v>
      </c>
      <c r="D38">
        <f>6*(V4+V8+V12)*ROUNDUP(LOG(O23*T23,2),0)</f>
        <v>38880</v>
      </c>
    </row>
    <row r="39" customFormat="1" spans="1:11">
      <c r="B39">
        <f>6*(T5+T9+T13)*ROUNDUP(LOG(M24*R24,2),0)</f>
        <v>47520</v>
      </c>
      <c r="C39">
        <f>6*(U5+U9+U13)*ROUNDUP(LOG(N24*S24,2),0)</f>
        <v>47520</v>
      </c>
      <c r="D39">
        <f>6*(V5+V9+V13)*ROUNDUP(LOG(O24*T24,2),0)</f>
        <v>47520</v>
      </c>
    </row>
    <row r="41" customFormat="1" spans="1:11">
      <c r="A41" t="s">
        <v>23</v>
      </c>
      <c r="B41">
        <f>2*B24+T3</f>
        <v>432</v>
      </c>
      <c r="C41">
        <f>2*C24+U3</f>
        <v>432</v>
      </c>
      <c r="D41">
        <f>2*D24+V3</f>
        <v>432</v>
      </c>
    </row>
    <row r="42" customFormat="1" spans="1:11">
      <c r="B42">
        <f>2*B25+T4</f>
        <v>624</v>
      </c>
      <c r="C42">
        <f>2*C25+U4</f>
        <v>624</v>
      </c>
      <c r="D42">
        <f>2*D25+V4</f>
        <v>624</v>
      </c>
    </row>
    <row r="43" customFormat="1" spans="1:11">
      <c r="B43">
        <f>2*B26+T5</f>
        <v>816</v>
      </c>
      <c r="C43">
        <f>2*C26+U5</f>
        <v>816</v>
      </c>
      <c r="D43">
        <f>2*D26+V5</f>
        <v>816</v>
      </c>
      <c r="H43">
        <f>G46*16</f>
        <v>257698.03776</v>
      </c>
    </row>
    <row r="46" spans="1:11">
      <c r="A46" t="s">
        <v>24</v>
      </c>
      <c r="B46">
        <f>(R22+1)*M26*T3</f>
        <v>1006632960</v>
      </c>
      <c r="C46">
        <f>(S22+1)*N26*U3</f>
        <v>4026531840</v>
      </c>
      <c r="D46">
        <f>(T22+1)*O26*V3</f>
        <v>16106127360</v>
      </c>
      <c r="E46">
        <f>B46/1000000</f>
        <v>1006.63296</v>
      </c>
      <c r="F46">
        <f>C46/1000000</f>
        <v>4026.53184</v>
      </c>
      <c r="G46">
        <f>D46/1000000</f>
        <v>16106.12736</v>
      </c>
    </row>
    <row r="47" spans="1:11">
      <c r="B47">
        <f>(R23+1)*M27*T4</f>
        <v>352321536</v>
      </c>
      <c r="C47">
        <f>(S23+1)*N27*U4</f>
        <v>1409286144</v>
      </c>
      <c r="D47">
        <f>(T23+1)*O27*V4</f>
        <v>5637144576</v>
      </c>
      <c r="E47">
        <f>B47/1000000</f>
        <v>352.321536</v>
      </c>
      <c r="F47">
        <f>C47/1000000</f>
        <v>1409.286144</v>
      </c>
      <c r="G47">
        <f>D47/1000000</f>
        <v>5637.144576</v>
      </c>
      <c r="K47">
        <f>C47*16</f>
        <v>22548578304</v>
      </c>
    </row>
    <row r="48" spans="1:11">
      <c r="B48">
        <f>(R24+1)*M28*T5</f>
        <v>113246208</v>
      </c>
      <c r="C48">
        <f>(S24+1)*N28*U5</f>
        <v>452984832</v>
      </c>
      <c r="D48">
        <f>(T24+1)*O28*V5</f>
        <v>1811939328</v>
      </c>
      <c r="E48">
        <f>B48/1000000</f>
        <v>113.246208</v>
      </c>
      <c r="F48">
        <f>C48/1000000</f>
        <v>452.984832</v>
      </c>
      <c r="G48">
        <f>D48/1000000</f>
        <v>1811.939328</v>
      </c>
    </row>
    <row r="50" spans="1:7">
      <c r="A50" t="s">
        <v>25</v>
      </c>
      <c r="B50">
        <f>(M17+M22)*T3</f>
        <v>3221226240</v>
      </c>
      <c r="C50">
        <f>(N17+N22)*U3</f>
        <v>12884902656</v>
      </c>
      <c r="D50">
        <f>(O17+O22)*V3</f>
        <v>51539608320</v>
      </c>
      <c r="E50">
        <f>B50/1000000</f>
        <v>3221.22624</v>
      </c>
      <c r="F50">
        <f>C50/1000000</f>
        <v>12884.902656</v>
      </c>
      <c r="G50">
        <f>D50/1000000</f>
        <v>51539.60832</v>
      </c>
    </row>
    <row r="51" spans="1:7">
      <c r="B51">
        <f>(M18+M23)*T4</f>
        <v>3221228544</v>
      </c>
      <c r="C51">
        <f>(N18+N23)*U4</f>
        <v>12884904960</v>
      </c>
      <c r="D51">
        <f>(O18+O23)*V4</f>
        <v>51539610624</v>
      </c>
      <c r="E51">
        <f>B51/1000000</f>
        <v>3221.228544</v>
      </c>
      <c r="F51">
        <f>C51/1000000</f>
        <v>12884.90496</v>
      </c>
      <c r="G51">
        <f>D51/1000000</f>
        <v>51539.610624</v>
      </c>
    </row>
    <row r="52" spans="1:7">
      <c r="B52">
        <f>(M19+M24)*T5</f>
        <v>3221237760</v>
      </c>
      <c r="C52">
        <f>(N19+N24)*U5</f>
        <v>12884914176</v>
      </c>
      <c r="D52">
        <f>(O19+O24)*V5</f>
        <v>51539619840</v>
      </c>
      <c r="E52">
        <f>B52/1000000</f>
        <v>3221.23776</v>
      </c>
      <c r="F52">
        <f>C52/1000000</f>
        <v>12884.914176</v>
      </c>
      <c r="G52">
        <f>D52/1000000</f>
        <v>51539.61984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zoomScale="98" zoomScaleNormal="98" workbookViewId="0">
      <selection activeCell="B63" sqref="B63"/>
    </sheetView>
  </sheetViews>
  <sheetFormatPr defaultColWidth="8.89166666666667" defaultRowHeight="13.5"/>
  <cols>
    <col min="1" max="1" width="18" customWidth="1"/>
    <col min="2" max="2" width="13.775" customWidth="1"/>
    <col min="3" max="3" width="11.5583333333333" customWidth="1"/>
    <col min="4" max="4" width="13" customWidth="1"/>
    <col min="5" max="5" width="12.4416666666667" customWidth="1"/>
    <col min="6" max="6" width="14" customWidth="1"/>
    <col min="7" max="7" width="11.375" customWidth="1"/>
    <col min="8" max="8" width="13.1083333333333" customWidth="1"/>
    <col min="9" max="9" width="20" customWidth="1"/>
    <col min="10" max="10" width="12.8916666666667" customWidth="1"/>
    <col min="11" max="11" width="15" customWidth="1"/>
    <col min="12" max="12" width="17.1083333333333" customWidth="1"/>
    <col min="13" max="13" width="14.025" customWidth="1"/>
    <col min="14" max="15" width="12.625"/>
  </cols>
  <sheetData>
    <row r="1" customFormat="1" spans="1:14">
      <c r="A1" s="1" t="s">
        <v>5</v>
      </c>
      <c r="B1" s="2">
        <f>POWER(2,30)</f>
        <v>1073741824</v>
      </c>
      <c r="C1" s="2">
        <f>B1</f>
        <v>1073741824</v>
      </c>
      <c r="D1" s="2">
        <f>C1</f>
        <v>1073741824</v>
      </c>
      <c r="G1" t="s">
        <v>26</v>
      </c>
    </row>
    <row r="2" customFormat="1" spans="1:14">
      <c r="A2" t="s">
        <v>6</v>
      </c>
      <c r="B2" s="2">
        <v>30</v>
      </c>
      <c r="C2" s="2">
        <f>B2</f>
        <v>30</v>
      </c>
      <c r="D2" s="2">
        <f>C2</f>
        <v>30</v>
      </c>
    </row>
    <row r="3" customFormat="1" spans="1:14">
      <c r="A3" t="s">
        <v>2</v>
      </c>
      <c r="B3">
        <v>256</v>
      </c>
      <c r="C3" s="2">
        <f>B3</f>
        <v>256</v>
      </c>
      <c r="D3" s="2">
        <f>C3</f>
        <v>256</v>
      </c>
    </row>
    <row r="4" customFormat="1" spans="1:14">
      <c r="A4" t="s">
        <v>4</v>
      </c>
      <c r="B4">
        <v>8</v>
      </c>
      <c r="C4" s="2">
        <f>B4</f>
        <v>8</v>
      </c>
      <c r="D4" s="2">
        <f>C4</f>
        <v>8</v>
      </c>
    </row>
    <row r="10" customFormat="1" spans="1:14">
      <c r="I10" s="3"/>
      <c r="J10" s="3"/>
      <c r="K10" s="3"/>
      <c r="L10" s="3"/>
    </row>
    <row r="12" customFormat="1" spans="1:14">
      <c r="H12" t="s">
        <v>9</v>
      </c>
      <c r="I12" t="s">
        <v>10</v>
      </c>
      <c r="J12" t="s">
        <v>7</v>
      </c>
      <c r="K12" t="s">
        <v>11</v>
      </c>
    </row>
    <row r="13" customFormat="1" spans="1:14">
      <c r="I13" s="4">
        <v>48</v>
      </c>
      <c r="J13">
        <v>96</v>
      </c>
      <c r="K13">
        <v>576</v>
      </c>
    </row>
    <row r="14" customFormat="1" spans="1:14">
      <c r="H14" t="s">
        <v>13</v>
      </c>
      <c r="I14">
        <f t="shared" ref="I14:K14" si="0">I13</f>
        <v>48</v>
      </c>
      <c r="J14">
        <f t="shared" si="0"/>
        <v>96</v>
      </c>
      <c r="K14">
        <f t="shared" si="0"/>
        <v>576</v>
      </c>
    </row>
    <row r="16" customFormat="1" spans="1:14">
      <c r="J16" t="s">
        <v>27</v>
      </c>
      <c r="K16" t="s">
        <v>28</v>
      </c>
      <c r="L16" t="s">
        <v>29</v>
      </c>
      <c r="M16" t="s">
        <v>30</v>
      </c>
      <c r="N16" t="s">
        <v>31</v>
      </c>
    </row>
    <row r="17" customFormat="1" spans="1:16">
      <c r="I17" t="s">
        <v>32</v>
      </c>
      <c r="J17">
        <f>I14</f>
        <v>48</v>
      </c>
      <c r="K17">
        <f>B2*I14</f>
        <v>1440</v>
      </c>
      <c r="L17">
        <f>K17</f>
        <v>1440</v>
      </c>
      <c r="M17">
        <f>K17+I13</f>
        <v>1488</v>
      </c>
    </row>
    <row r="18" customFormat="1" spans="1:16">
      <c r="A18" t="s">
        <v>14</v>
      </c>
      <c r="B18">
        <f>(B4+0.5)*J14</f>
        <v>816</v>
      </c>
      <c r="C18">
        <f t="shared" ref="C18:C20" si="1">B18</f>
        <v>816</v>
      </c>
      <c r="D18">
        <f>C18</f>
        <v>816</v>
      </c>
      <c r="I18" t="s">
        <v>33</v>
      </c>
    </row>
    <row r="19" customFormat="1" spans="1:16">
      <c r="B19">
        <f>(C4+0.5)*J14</f>
        <v>816</v>
      </c>
      <c r="C19">
        <f t="shared" si="1"/>
        <v>816</v>
      </c>
      <c r="D19">
        <f>B19</f>
        <v>816</v>
      </c>
      <c r="I19" t="s">
        <v>34</v>
      </c>
    </row>
    <row r="20" customFormat="1" spans="1:16">
      <c r="B20">
        <f>(D4+0.5)*J14</f>
        <v>816</v>
      </c>
      <c r="C20">
        <f t="shared" si="1"/>
        <v>816</v>
      </c>
      <c r="D20">
        <f t="shared" ref="D20:D29" si="2">C20</f>
        <v>816</v>
      </c>
      <c r="I20" t="s">
        <v>35</v>
      </c>
    </row>
    <row r="21" customFormat="1" spans="1:16">
      <c r="A21" t="s">
        <v>36</v>
      </c>
      <c r="B21">
        <f>(B4+3)*B1*I14</f>
        <v>566935683072</v>
      </c>
      <c r="C21">
        <f>(B4+3)*C1*I13</f>
        <v>566935683072</v>
      </c>
      <c r="D21">
        <f>(B4+3)*D1*I14</f>
        <v>566935683072</v>
      </c>
      <c r="E21">
        <f t="shared" ref="E21:E23" si="3">B21/1000000000</f>
        <v>566.935683072</v>
      </c>
      <c r="F21">
        <f t="shared" ref="F21:F23" si="4">C21/1000000000</f>
        <v>566.935683072</v>
      </c>
      <c r="G21">
        <f t="shared" ref="G21:G23" si="5">D21/1000000000</f>
        <v>566.935683072</v>
      </c>
      <c r="I21" t="s">
        <v>37</v>
      </c>
    </row>
    <row r="22" customFormat="1" spans="1:16">
      <c r="B22">
        <f>(C4+3)*B1*I14</f>
        <v>566935683072</v>
      </c>
      <c r="C22">
        <f>(C4+3)*C1*I14</f>
        <v>566935683072</v>
      </c>
      <c r="D22">
        <f>(C4+3)*D1*I14</f>
        <v>566935683072</v>
      </c>
      <c r="E22">
        <f t="shared" si="3"/>
        <v>566.935683072</v>
      </c>
      <c r="F22">
        <f t="shared" si="4"/>
        <v>566.935683072</v>
      </c>
      <c r="G22">
        <f t="shared" si="5"/>
        <v>566.935683072</v>
      </c>
      <c r="I22" t="s">
        <v>38</v>
      </c>
      <c r="J22">
        <f>I14</f>
        <v>48</v>
      </c>
      <c r="K22">
        <f>15*6*(I14+J14+K14)</f>
        <v>64800</v>
      </c>
      <c r="L22">
        <f>K22</f>
        <v>64800</v>
      </c>
      <c r="M22">
        <f>M17*C3</f>
        <v>380928</v>
      </c>
      <c r="N22" s="3">
        <f>B1*I13</f>
        <v>51539607552</v>
      </c>
      <c r="O22">
        <f>D3*2*I14</f>
        <v>24576</v>
      </c>
    </row>
    <row r="23" customFormat="1" spans="1:16">
      <c r="B23">
        <f>(D4+3)*B1*I14</f>
        <v>566935683072</v>
      </c>
      <c r="C23">
        <f>(D4+3)*C1*I14</f>
        <v>566935683072</v>
      </c>
      <c r="D23">
        <f>(D4+3)*D1*I14</f>
        <v>566935683072</v>
      </c>
      <c r="E23">
        <f t="shared" si="3"/>
        <v>566.935683072</v>
      </c>
      <c r="F23">
        <f t="shared" si="4"/>
        <v>566.935683072</v>
      </c>
      <c r="G23">
        <f t="shared" si="5"/>
        <v>566.935683072</v>
      </c>
      <c r="I23" t="s">
        <v>39</v>
      </c>
      <c r="N23">
        <f>N22/1000000000</f>
        <v>51.539607552</v>
      </c>
    </row>
    <row r="24" customFormat="1" spans="1:16">
      <c r="A24" t="s">
        <v>16</v>
      </c>
      <c r="B24">
        <f>(B4)*I14</f>
        <v>384</v>
      </c>
      <c r="C24">
        <f t="shared" ref="C24:C29" si="6">B24</f>
        <v>384</v>
      </c>
      <c r="D24">
        <f t="shared" si="2"/>
        <v>384</v>
      </c>
    </row>
    <row r="25" customFormat="1" spans="1:16">
      <c r="B25">
        <f>C4*I14</f>
        <v>384</v>
      </c>
      <c r="C25">
        <f t="shared" si="6"/>
        <v>384</v>
      </c>
      <c r="D25">
        <f t="shared" si="2"/>
        <v>384</v>
      </c>
    </row>
    <row r="26" customFormat="1" spans="1:16">
      <c r="B26">
        <f>D4*I14</f>
        <v>384</v>
      </c>
      <c r="C26">
        <f t="shared" si="6"/>
        <v>384</v>
      </c>
      <c r="D26">
        <f t="shared" si="2"/>
        <v>384</v>
      </c>
    </row>
    <row r="27" customFormat="1" spans="1:16">
      <c r="A27" t="s">
        <v>18</v>
      </c>
      <c r="B27">
        <f>(B4+1)*I14</f>
        <v>432</v>
      </c>
      <c r="C27">
        <f t="shared" si="6"/>
        <v>432</v>
      </c>
      <c r="D27">
        <f t="shared" si="2"/>
        <v>432</v>
      </c>
    </row>
    <row r="28" customFormat="1" spans="1:16">
      <c r="B28">
        <f>(C4+1)*I14</f>
        <v>432</v>
      </c>
      <c r="C28">
        <f t="shared" si="6"/>
        <v>432</v>
      </c>
      <c r="D28">
        <f t="shared" si="2"/>
        <v>432</v>
      </c>
    </row>
    <row r="29" customFormat="1" spans="1:16">
      <c r="B29">
        <f>(D4+1)*I14</f>
        <v>432</v>
      </c>
      <c r="C29">
        <f t="shared" si="6"/>
        <v>432</v>
      </c>
      <c r="D29">
        <f t="shared" si="2"/>
        <v>432</v>
      </c>
    </row>
    <row r="30" customFormat="1" spans="1:16">
      <c r="A30" t="s">
        <v>19</v>
      </c>
      <c r="B30">
        <v>384</v>
      </c>
      <c r="C30">
        <v>384</v>
      </c>
      <c r="D30">
        <v>384</v>
      </c>
      <c r="J30" t="s">
        <v>20</v>
      </c>
      <c r="K30" t="s">
        <v>40</v>
      </c>
    </row>
    <row r="31" customFormat="1" spans="1:16">
      <c r="B31">
        <v>480</v>
      </c>
      <c r="C31">
        <v>480</v>
      </c>
      <c r="D31">
        <v>480</v>
      </c>
      <c r="J31">
        <v>1024</v>
      </c>
      <c r="K31" t="s">
        <v>40</v>
      </c>
    </row>
    <row r="32" customFormat="1" spans="1:16">
      <c r="B32">
        <v>576</v>
      </c>
      <c r="C32">
        <v>576</v>
      </c>
      <c r="D32">
        <v>576</v>
      </c>
      <c r="J32">
        <v>10</v>
      </c>
      <c r="K32">
        <v>5</v>
      </c>
      <c r="L32">
        <v>15</v>
      </c>
      <c r="P32">
        <f>6*15*K14+3*I14+3*J14</f>
        <v>52272</v>
      </c>
    </row>
    <row r="33" customFormat="1" spans="1:16">
      <c r="A33" t="s">
        <v>41</v>
      </c>
      <c r="B33">
        <f>12*6*(I14+J14+K14)</f>
        <v>51840</v>
      </c>
    </row>
    <row r="34" customFormat="1" spans="1:16">
      <c r="B34">
        <f>13*6*(I14+J14+K14)</f>
        <v>56160</v>
      </c>
    </row>
    <row r="35" customFormat="1" spans="1:16">
      <c r="B35">
        <f>13*6*(I14+J14+K14)</f>
        <v>56160</v>
      </c>
      <c r="J35" t="s">
        <v>20</v>
      </c>
      <c r="K35" t="s">
        <v>42</v>
      </c>
    </row>
    <row r="36" customFormat="1" spans="1:16">
      <c r="A36" t="s">
        <v>43</v>
      </c>
      <c r="J36">
        <v>1024</v>
      </c>
      <c r="K36">
        <v>4</v>
      </c>
    </row>
    <row r="37" spans="1:16">
      <c r="J37">
        <v>10</v>
      </c>
      <c r="K37">
        <v>2</v>
      </c>
      <c r="L37">
        <v>12</v>
      </c>
      <c r="P37">
        <f>6*12*K14+3*I14+3*J14</f>
        <v>41904</v>
      </c>
    </row>
    <row r="42" spans="1:16">
      <c r="N42">
        <f>6*11*K14+3*I14+3*J14</f>
        <v>38448</v>
      </c>
    </row>
    <row r="43" customFormat="1" spans="1:16">
      <c r="B43" t="s">
        <v>44</v>
      </c>
      <c r="I43" t="s">
        <v>45</v>
      </c>
    </row>
    <row r="52" spans="3:5">
      <c r="C52">
        <v>16</v>
      </c>
      <c r="D52">
        <f>6*6*(I14+J14+K14)</f>
        <v>25920</v>
      </c>
      <c r="E52">
        <f>16*D28</f>
        <v>6912</v>
      </c>
    </row>
    <row r="53" spans="3:5">
      <c r="C53">
        <v>32</v>
      </c>
      <c r="D53">
        <f>6*6*(I14+J14+K14)</f>
        <v>25920</v>
      </c>
      <c r="E53">
        <f>D30*C53</f>
        <v>12288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F60" sqref="F60"/>
    </sheetView>
  </sheetViews>
  <sheetFormatPr defaultColWidth="9" defaultRowHeight="13.5" outlineLevelCol="4"/>
  <cols>
    <col min="2" max="2" width="12.625"/>
    <col min="3" max="5" width="9.375"/>
    <col min="6" max="6" width="22.125" customWidth="1"/>
    <col min="7" max="7" width="11.5"/>
    <col min="8" max="8" width="12.625"/>
    <col min="10" max="11" width="12.625"/>
  </cols>
  <sheetData>
    <row r="1" spans="1:3">
      <c r="A1" t="s">
        <v>0</v>
      </c>
      <c r="B1">
        <v>4194304</v>
      </c>
    </row>
    <row r="2" spans="1:3">
      <c r="A2" t="s">
        <v>1</v>
      </c>
      <c r="B2">
        <v>22</v>
      </c>
    </row>
    <row r="3" spans="1:3">
      <c r="A3" t="s">
        <v>2</v>
      </c>
      <c r="B3">
        <v>256</v>
      </c>
      <c r="C3">
        <v>256</v>
      </c>
    </row>
    <row r="4" spans="1:3">
      <c r="A4" t="s">
        <v>4</v>
      </c>
      <c r="B4">
        <v>8</v>
      </c>
      <c r="C4">
        <v>8</v>
      </c>
    </row>
    <row r="6" spans="1:3">
      <c r="A6" t="s">
        <v>5</v>
      </c>
      <c r="B6">
        <v>1073741824</v>
      </c>
    </row>
    <row r="7" spans="1:3">
      <c r="A7" t="s">
        <v>6</v>
      </c>
      <c r="B7">
        <v>30</v>
      </c>
    </row>
    <row r="11" spans="1:3">
      <c r="A11" t="s">
        <v>46</v>
      </c>
      <c r="B11">
        <v>665911.08</v>
      </c>
    </row>
    <row r="12" spans="1:3">
      <c r="A12" t="s">
        <v>47</v>
      </c>
      <c r="B12">
        <v>0.00029</v>
      </c>
    </row>
    <row r="13" spans="1:3">
      <c r="A13" t="s">
        <v>48</v>
      </c>
      <c r="B13">
        <v>0.0023</v>
      </c>
    </row>
    <row r="14" spans="1:3">
      <c r="A14" t="s">
        <v>49</v>
      </c>
      <c r="B14">
        <v>324.36</v>
      </c>
    </row>
    <row r="15" spans="1:3">
      <c r="A15" t="s">
        <v>50</v>
      </c>
      <c r="B15">
        <v>0.0051</v>
      </c>
    </row>
    <row r="16" spans="1:3">
      <c r="A16" t="s">
        <v>51</v>
      </c>
      <c r="B16">
        <v>324.4</v>
      </c>
    </row>
    <row r="17" spans="1:5">
      <c r="A17" t="s">
        <v>52</v>
      </c>
      <c r="B17">
        <v>0.0056</v>
      </c>
    </row>
    <row r="21" spans="1:5">
      <c r="A21" t="s">
        <v>53</v>
      </c>
      <c r="B21">
        <v>364.06</v>
      </c>
    </row>
    <row r="22" spans="1:5">
      <c r="A22" t="s">
        <v>54</v>
      </c>
      <c r="B22">
        <v>2594.88</v>
      </c>
    </row>
    <row r="23" spans="1:5">
      <c r="A23" t="s">
        <v>55</v>
      </c>
      <c r="B23">
        <v>14920.56</v>
      </c>
      <c r="D23" t="s">
        <v>56</v>
      </c>
      <c r="E23">
        <f>B23+B22</f>
        <v>17515.44</v>
      </c>
    </row>
    <row r="24" spans="1:5">
      <c r="A24" t="s">
        <v>57</v>
      </c>
      <c r="B24">
        <v>648.72</v>
      </c>
    </row>
    <row r="26" spans="1:5">
      <c r="A26" t="s">
        <v>58</v>
      </c>
      <c r="B26">
        <v>0.123</v>
      </c>
    </row>
    <row r="27" spans="1:5">
      <c r="A27" t="s">
        <v>59</v>
      </c>
      <c r="B27">
        <v>9.49</v>
      </c>
    </row>
    <row r="28" spans="1:5">
      <c r="A28" t="s">
        <v>60</v>
      </c>
      <c r="B28">
        <v>0.0448</v>
      </c>
    </row>
    <row r="31" spans="1:5">
      <c r="A31" t="s">
        <v>61</v>
      </c>
      <c r="B31">
        <v>17515.44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HLE-DVC size</vt:lpstr>
      <vt:lpstr>HLE-comparison-size</vt:lpstr>
      <vt:lpstr>HLE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高睿</dc:creator>
  <cp:lastModifiedBy>高者，睿也。</cp:lastModifiedBy>
  <dcterms:created xsi:type="dcterms:W3CDTF">2023-05-12T11:15:00Z</dcterms:created>
  <dcterms:modified xsi:type="dcterms:W3CDTF">2025-12-08T12:51:26Z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